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s" sheetId="1" r:id="rId1"/>
    <sheet name="Summary" sheetId="2" r:id="rId2"/>
    <sheet name="Simple Random" sheetId="3" r:id="rId3"/>
    <sheet name="Systematic" sheetId="4" r:id="rId4"/>
    <sheet name="Stratified" sheetId="5" r:id="rId5"/>
    <sheet name="Cluster" sheetId="6" r:id="rId6"/>
  </sheets>
  <calcPr calcId="124519" fullCalcOnLoad="1"/>
</workbook>
</file>

<file path=xl/sharedStrings.xml><?xml version="1.0" encoding="utf-8"?>
<sst xmlns="http://schemas.openxmlformats.org/spreadsheetml/2006/main" count="138" uniqueCount="105">
  <si>
    <t>MATHEMATICAL FORMULAS USED</t>
  </si>
  <si>
    <t>Formula Name</t>
  </si>
  <si>
    <t>Formula &amp; Explanation</t>
  </si>
  <si>
    <t>Sample Mean</t>
  </si>
  <si>
    <t>x̄ = Σx / n
Sum all sample prices, divide by sample size (n=100)</t>
  </si>
  <si>
    <t>Sample Standard Deviation</t>
  </si>
  <si>
    <t>s = √[Σ(x - x̄)² / (n-1)]
Measures spread of sample prices around mean. Use (n-1) for sample correction.</t>
  </si>
  <si>
    <t>Standard Error (SE)</t>
  </si>
  <si>
    <t>SE = s / √n
Uncertainty in sample mean. Divide std dev by √100 = √n
Lower SE = more precise estimate</t>
  </si>
  <si>
    <t>Efficiency</t>
  </si>
  <si>
    <t>E = (σ_population / SE)²
How much information per sample compared to population variation
Higher = better method</t>
  </si>
  <si>
    <t>Estimation Error %</t>
  </si>
  <si>
    <t>Error% = |x̄ - μ| / μ × 100%
How far sample mean is from true population mean, in percentage</t>
  </si>
  <si>
    <t>Stratified Allocation</t>
  </si>
  <si>
    <t>n_h = n × (N_h / N)
How many samples from each stratum. Proportional to group size.</t>
  </si>
  <si>
    <t>Systematic Interval</t>
  </si>
  <si>
    <t>k = N / n
Sampling interval. Pick every k-th price when sorted.</t>
  </si>
  <si>
    <t>95% Confidence Interval</t>
  </si>
  <si>
    <t>CI = x̄ ± 1.96 × SE
Range where true mean likely falls with 95% confidence</t>
  </si>
  <si>
    <t>KEY VALUES</t>
  </si>
  <si>
    <t>Population Size (N)</t>
  </si>
  <si>
    <t>1347 prices</t>
  </si>
  <si>
    <t>Sample Size (n)</t>
  </si>
  <si>
    <t>100 prices (used in all methods)</t>
  </si>
  <si>
    <t>Population Mean (μ)</t>
  </si>
  <si>
    <t>$2312.68</t>
  </si>
  <si>
    <t>Population Std Dev (σ)</t>
  </si>
  <si>
    <t>$852.72</t>
  </si>
  <si>
    <t>Confidence Level</t>
  </si>
  <si>
    <t>95% (z-score = 1.96)</t>
  </si>
  <si>
    <t>SAMPLING METHODS COMPARISON</t>
  </si>
  <si>
    <t>POPULATION PARAMETERS</t>
  </si>
  <si>
    <t>Value</t>
  </si>
  <si>
    <t>SAMPLING METHOD COMPARISON</t>
  </si>
  <si>
    <t>Std Dev</t>
  </si>
  <si>
    <t>Std Error</t>
  </si>
  <si>
    <t>Est. Error %</t>
  </si>
  <si>
    <t>Simple Random</t>
  </si>
  <si>
    <t>Systematic</t>
  </si>
  <si>
    <t>Stratified</t>
  </si>
  <si>
    <t>Cluster</t>
  </si>
  <si>
    <t>SIMPLE RANDOM SAMPLING (SRS)</t>
  </si>
  <si>
    <t>Sample Mean (formula)</t>
  </si>
  <si>
    <t>Sample Std Dev (formula)</t>
  </si>
  <si>
    <t>Standard Error (formula)</t>
  </si>
  <si>
    <t>Sample Data (Prices)</t>
  </si>
  <si>
    <t>FORMULAS USED</t>
  </si>
  <si>
    <t>Formula</t>
  </si>
  <si>
    <t>Explanation</t>
  </si>
  <si>
    <t>Sample Mean Formula</t>
  </si>
  <si>
    <t>Average of 100 prices</t>
  </si>
  <si>
    <t>Std Dev Formula</t>
  </si>
  <si>
    <t>Standard deviation (sample correction)</t>
  </si>
  <si>
    <t>Standard Error</t>
  </si>
  <si>
    <t>SE = StdDev / √100 = StdDev / 10</t>
  </si>
  <si>
    <t>SYSTEMATIC SAMPLING</t>
  </si>
  <si>
    <t>Sampling Interval (k)</t>
  </si>
  <si>
    <t>Starting Point</t>
  </si>
  <si>
    <t>Sampling Interval</t>
  </si>
  <si>
    <t>k = N / n</t>
  </si>
  <si>
    <t>k = 1347 / 100 = 13 (pick every 13th price)</t>
  </si>
  <si>
    <t>Average of systematically selected prices</t>
  </si>
  <si>
    <t>Standard deviation</t>
  </si>
  <si>
    <t>SE = StdDev / √100</t>
  </si>
  <si>
    <t>STRATIFIED SAMPLING</t>
  </si>
  <si>
    <t>Number of Strata</t>
  </si>
  <si>
    <t>Allocation Method</t>
  </si>
  <si>
    <t>Proportional</t>
  </si>
  <si>
    <t>Stratum</t>
  </si>
  <si>
    <t>Pop Size</t>
  </si>
  <si>
    <t>Proportion</t>
  </si>
  <si>
    <t>Allocated (n)</t>
  </si>
  <si>
    <t>Mean</t>
  </si>
  <si>
    <t>Stratum 1 (Low)</t>
  </si>
  <si>
    <t>Stratum 2</t>
  </si>
  <si>
    <t>Stratum 3 (Mid)</t>
  </si>
  <si>
    <t>Stratum 4</t>
  </si>
  <si>
    <t>Stratum 5 (High)</t>
  </si>
  <si>
    <t>Overall Sample Mean</t>
  </si>
  <si>
    <t>Overall Std Dev</t>
  </si>
  <si>
    <t>Proportional Allocation</t>
  </si>
  <si>
    <t>n_h = n × (N_h / N) = 100 × (Stratum Size / 1347)
Takes samples proportional to each price range group</t>
  </si>
  <si>
    <t>Stratum Mean</t>
  </si>
  <si>
    <t>Stratum Std Dev</t>
  </si>
  <si>
    <t>Weighted average: Σ(Proportion_h × Mean_h)
Ensures all price ranges represented fairly</t>
  </si>
  <si>
    <t>SE_strat = √[Σ(Proportion_h² × Var_h / n_h)]
Lower than simple random because considers strata structure</t>
  </si>
  <si>
    <t>CLUSTER SAMPLING</t>
  </si>
  <si>
    <t>Total Clusters</t>
  </si>
  <si>
    <t>Clusters Selected</t>
  </si>
  <si>
    <t>Cluster ID</t>
  </si>
  <si>
    <t>Cluster Size</t>
  </si>
  <si>
    <t>Mean Price</t>
  </si>
  <si>
    <t>Cluster 1</t>
  </si>
  <si>
    <t>Cluster 3</t>
  </si>
  <si>
    <t>Cluster 4</t>
  </si>
  <si>
    <t>Cluster 2</t>
  </si>
  <si>
    <t>Cluster 7</t>
  </si>
  <si>
    <t>Cluster 8</t>
  </si>
  <si>
    <t>Cluster 9</t>
  </si>
  <si>
    <t>Cluster Formation</t>
  </si>
  <si>
    <t>Total Clusters = 10 (time-based groups)
Cluster Size ≈ 134 prices per cluster</t>
  </si>
  <si>
    <t>Cluster Selection</t>
  </si>
  <si>
    <t>Randomly select 7 clusters out of 10 total
Example: Select clusters 2, 5, 7</t>
  </si>
  <si>
    <t>Cluster Mean</t>
  </si>
  <si>
    <t>SE_cluster = √[Between-cluster variance / clusters_selected]
Larger if clusters differ a lot from each other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</si>
</sst>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0.7109375" customWidth="1"/>
    <col min="2" max="2" width="50.7109375" customWidth="1"/>
  </cols>
  <sheetData>
    <row r="1" spans="1:2">
      <c r="A1" s="1" t="s">
        <v>0</v>
      </c>
      <c r="B1" s="1"/>
    </row>
    <row r="3" spans="1:2">
      <c r="A3" s="2" t="s">
        <v>1</v>
      </c>
      <c r="B3" s="2" t="s">
        <v>2</v>
      </c>
    </row>
    <row r="4" spans="1:2">
      <c r="A4" s="3" t="s">
        <v>3</v>
      </c>
      <c r="B4" s="4" t="s">
        <v>4</v>
      </c>
    </row>
    <row r="5" spans="1:2">
      <c r="A5" s="3" t="s">
        <v>5</v>
      </c>
      <c r="B5" s="4" t="s">
        <v>6</v>
      </c>
    </row>
    <row r="6" spans="1:2">
      <c r="A6" s="3" t="s">
        <v>7</v>
      </c>
      <c r="B6" s="4" t="s">
        <v>8</v>
      </c>
    </row>
    <row r="7" spans="1:2">
      <c r="A7" s="3" t="s">
        <v>9</v>
      </c>
      <c r="B7" s="4" t="s">
        <v>10</v>
      </c>
    </row>
    <row r="8" spans="1:2">
      <c r="A8" s="3" t="s">
        <v>11</v>
      </c>
      <c r="B8" s="4" t="s">
        <v>12</v>
      </c>
    </row>
    <row r="9" spans="1:2">
      <c r="A9" s="3" t="s">
        <v>13</v>
      </c>
      <c r="B9" s="4" t="s">
        <v>14</v>
      </c>
    </row>
    <row r="10" spans="1:2">
      <c r="A10" s="3" t="s">
        <v>15</v>
      </c>
      <c r="B10" s="4" t="s">
        <v>16</v>
      </c>
    </row>
    <row r="11" spans="1:2">
      <c r="A11" s="3" t="s">
        <v>17</v>
      </c>
      <c r="B11" s="4" t="s">
        <v>18</v>
      </c>
    </row>
    <row r="13" spans="1:2">
      <c r="A13" s="2" t="s">
        <v>19</v>
      </c>
      <c r="B13" s="2"/>
    </row>
    <row r="14" spans="1:2">
      <c r="A14" s="3" t="s">
        <v>20</v>
      </c>
      <c r="B14" s="4" t="s">
        <v>21</v>
      </c>
    </row>
    <row r="15" spans="1:2">
      <c r="A15" s="3" t="s">
        <v>22</v>
      </c>
      <c r="B15" s="4" t="s">
        <v>23</v>
      </c>
    </row>
    <row r="16" spans="1:2">
      <c r="A16" s="3" t="s">
        <v>24</v>
      </c>
      <c r="B16" s="4" t="s">
        <v>25</v>
      </c>
    </row>
    <row r="17" spans="1:2">
      <c r="A17" s="3" t="s">
        <v>26</v>
      </c>
      <c r="B17" s="4" t="s">
        <v>27</v>
      </c>
    </row>
    <row r="18" spans="1:2">
      <c r="A18" s="3" t="s">
        <v>28</v>
      </c>
      <c r="B18" s="4" t="s">
        <v>29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25.7109375" customWidth="1"/>
    <col min="2" max="6" width="18.7109375" customWidth="1"/>
  </cols>
  <sheetData>
    <row r="1" spans="1:6">
      <c r="A1" s="1" t="s">
        <v>30</v>
      </c>
      <c r="B1" s="1"/>
      <c r="C1" s="1"/>
      <c r="D1" s="1"/>
      <c r="E1" s="1"/>
      <c r="F1" s="1"/>
    </row>
    <row r="3" spans="1:6">
      <c r="A3" s="2" t="s">
        <v>31</v>
      </c>
      <c r="B3" s="2" t="s">
        <v>32</v>
      </c>
    </row>
    <row r="4" spans="1:6">
      <c r="A4" s="3" t="s">
        <v>20</v>
      </c>
      <c r="B4" s="4">
        <v>1347</v>
      </c>
    </row>
    <row r="5" spans="1:6">
      <c r="A5" s="3" t="s">
        <v>24</v>
      </c>
      <c r="B5" s="4">
        <v>2312.683904974016</v>
      </c>
    </row>
    <row r="6" spans="1:6">
      <c r="A6" s="3" t="s">
        <v>26</v>
      </c>
      <c r="B6" s="4">
        <v>852.718114404259</v>
      </c>
    </row>
    <row r="8" spans="1:6">
      <c r="A8" s="2" t="s">
        <v>33</v>
      </c>
      <c r="B8" s="2" t="s">
        <v>3</v>
      </c>
      <c r="C8" s="2" t="s">
        <v>34</v>
      </c>
      <c r="D8" s="2" t="s">
        <v>35</v>
      </c>
      <c r="E8" s="2" t="s">
        <v>36</v>
      </c>
      <c r="F8" s="2" t="s">
        <v>9</v>
      </c>
    </row>
    <row r="9" spans="1:6">
      <c r="A9" s="3" t="s">
        <v>37</v>
      </c>
      <c r="B9" s="4">
        <v>2141.105</v>
      </c>
      <c r="C9" s="4">
        <v>629.6807975017376</v>
      </c>
      <c r="D9" s="4">
        <v>62.96807975017376</v>
      </c>
      <c r="E9" s="5">
        <v>0.07419038313233896</v>
      </c>
      <c r="F9" s="4">
        <v>183.3876472658195</v>
      </c>
    </row>
    <row r="10" spans="1:6">
      <c r="A10" s="3" t="s">
        <v>38</v>
      </c>
      <c r="B10" s="4">
        <v>2211.783</v>
      </c>
      <c r="C10" s="4">
        <v>692.9273155660526</v>
      </c>
      <c r="D10" s="4">
        <v>69.29273155660526</v>
      </c>
      <c r="E10" s="5">
        <v>0.0436293540837996</v>
      </c>
      <c r="F10" s="4">
        <v>151.4382610862326</v>
      </c>
    </row>
    <row r="11" spans="1:6">
      <c r="A11" s="3" t="s">
        <v>39</v>
      </c>
      <c r="B11" s="4">
        <v>2288.539795918367</v>
      </c>
      <c r="C11" s="4">
        <v>836.7167907886078</v>
      </c>
      <c r="D11" s="4">
        <v>84.52115952846719</v>
      </c>
      <c r="E11" s="5">
        <v>0.01043986556213782</v>
      </c>
      <c r="F11" s="4">
        <v>101.784133754308</v>
      </c>
    </row>
    <row r="12" spans="1:6">
      <c r="A12" s="3" t="s">
        <v>40</v>
      </c>
      <c r="B12" s="4">
        <v>2129.789307036247</v>
      </c>
      <c r="C12" s="4">
        <v>492.2315309349701</v>
      </c>
      <c r="D12" s="4">
        <v>16.07192920483501</v>
      </c>
      <c r="E12" s="5">
        <v>0.07908326665153295</v>
      </c>
      <c r="F12" s="4">
        <v>2814.977683852902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defaultRowHeight="15"/>
  <cols>
    <col min="1" max="1" width="25.7109375" customWidth="1"/>
    <col min="2" max="2" width="18.7109375" customWidth="1"/>
    <col min="3" max="3" width="40.7109375" customWidth="1"/>
  </cols>
  <sheetData>
    <row r="1" spans="1:4">
      <c r="A1" s="1" t="s">
        <v>41</v>
      </c>
      <c r="B1" s="1"/>
      <c r="C1" s="1"/>
      <c r="D1" s="1"/>
    </row>
    <row r="3" spans="1:4">
      <c r="A3" s="3" t="s">
        <v>22</v>
      </c>
      <c r="B3" s="4">
        <v>2141.105</v>
      </c>
    </row>
    <row r="4" spans="1:4">
      <c r="A4" s="3" t="s">
        <v>42</v>
      </c>
      <c r="B4" s="4">
        <v>629.6807975017376</v>
      </c>
    </row>
    <row r="5" spans="1:4">
      <c r="A5" s="3" t="s">
        <v>43</v>
      </c>
      <c r="B5" s="4">
        <v>62.96807975017376</v>
      </c>
    </row>
    <row r="6" spans="1:4">
      <c r="A6" s="3" t="s">
        <v>44</v>
      </c>
      <c r="B6" s="6">
        <f>B5/SQRT(B2)</f>
        <v>0</v>
      </c>
    </row>
    <row r="8" spans="1:4">
      <c r="A8" s="2" t="s">
        <v>45</v>
      </c>
    </row>
    <row r="9" spans="1:4">
      <c r="A9" s="2" t="s">
        <v>46</v>
      </c>
      <c r="B9" s="2" t="s">
        <v>47</v>
      </c>
      <c r="C9" s="2" t="s">
        <v>48</v>
      </c>
    </row>
    <row r="10" spans="1:4">
      <c r="A10" s="3" t="s">
        <v>49</v>
      </c>
      <c r="B10" s="6">
        <f>AVERAGE(C:C)</f>
        <v>0</v>
      </c>
      <c r="C10" s="4" t="s">
        <v>50</v>
      </c>
    </row>
    <row r="11" spans="1:4">
      <c r="A11" s="3" t="s">
        <v>51</v>
      </c>
      <c r="B11" s="6">
        <f>STDEV.S(C:C)</f>
        <v>0</v>
      </c>
      <c r="C11" s="4" t="s">
        <v>52</v>
      </c>
    </row>
    <row r="12" spans="1:4">
      <c r="A12" s="3" t="s">
        <v>53</v>
      </c>
      <c r="B12" s="6">
        <f>B5/SQRT(B2)</f>
        <v>0</v>
      </c>
      <c r="C12" s="4" t="s">
        <v>54</v>
      </c>
    </row>
    <row r="13" spans="1:4">
      <c r="C13" s="4">
        <v>1712.2</v>
      </c>
    </row>
    <row r="14" spans="1:4">
      <c r="C14" s="4">
        <v>1713.3</v>
      </c>
    </row>
    <row r="15" spans="1:4">
      <c r="C15" s="4">
        <v>1716.4</v>
      </c>
    </row>
    <row r="16" spans="1:4">
      <c r="C16" s="4">
        <v>1722.7</v>
      </c>
    </row>
    <row r="17" spans="3:3">
      <c r="C17" s="4">
        <v>1730.3</v>
      </c>
    </row>
    <row r="18" spans="3:3">
      <c r="C18" s="4">
        <v>1732.5</v>
      </c>
    </row>
    <row r="19" spans="3:3">
      <c r="C19" s="4">
        <v>1742.9</v>
      </c>
    </row>
    <row r="20" spans="3:3">
      <c r="C20" s="4">
        <v>1747.1</v>
      </c>
    </row>
    <row r="21" spans="3:3">
      <c r="C21" s="4">
        <v>1761.2</v>
      </c>
    </row>
    <row r="22" spans="3:3">
      <c r="C22" s="4">
        <v>1763</v>
      </c>
    </row>
    <row r="23" spans="3:3">
      <c r="C23" s="4">
        <v>1763.6</v>
      </c>
    </row>
    <row r="24" spans="3:3">
      <c r="C24" s="4">
        <v>1765.8</v>
      </c>
    </row>
    <row r="25" spans="3:3">
      <c r="C25" s="4">
        <v>1769.9</v>
      </c>
    </row>
    <row r="26" spans="3:3">
      <c r="C26" s="4">
        <v>1773.5</v>
      </c>
    </row>
    <row r="27" spans="3:3">
      <c r="C27" s="4">
        <v>1775.8</v>
      </c>
    </row>
    <row r="28" spans="3:3">
      <c r="C28" s="4">
        <v>1781.4</v>
      </c>
    </row>
    <row r="29" spans="3:3">
      <c r="C29" s="4">
        <v>1783.8</v>
      </c>
    </row>
    <row r="30" spans="3:3">
      <c r="C30" s="4">
        <v>1788.1</v>
      </c>
    </row>
    <row r="31" spans="3:3">
      <c r="C31" s="4">
        <v>1788.5</v>
      </c>
    </row>
    <row r="32" spans="3:3">
      <c r="C32" s="4">
        <v>1791</v>
      </c>
    </row>
    <row r="33" spans="3:3">
      <c r="C33" s="4">
        <v>1797.4</v>
      </c>
    </row>
    <row r="34" spans="3:3">
      <c r="C34" s="4">
        <v>1799</v>
      </c>
    </row>
    <row r="35" spans="3:3">
      <c r="C35" s="4">
        <v>1799.7</v>
      </c>
    </row>
    <row r="36" spans="3:3">
      <c r="C36" s="4">
        <v>1805.9</v>
      </c>
    </row>
    <row r="37" spans="3:3">
      <c r="C37" s="4">
        <v>1805.9</v>
      </c>
    </row>
    <row r="38" spans="3:3">
      <c r="C38" s="4">
        <v>1816.3</v>
      </c>
    </row>
    <row r="39" spans="3:3">
      <c r="C39" s="4">
        <v>1817.5</v>
      </c>
    </row>
    <row r="40" spans="3:3">
      <c r="C40" s="4">
        <v>1825</v>
      </c>
    </row>
    <row r="41" spans="3:3">
      <c r="C41" s="4">
        <v>1827.3</v>
      </c>
    </row>
    <row r="42" spans="3:3">
      <c r="C42" s="4">
        <v>1827.6</v>
      </c>
    </row>
    <row r="43" spans="3:3">
      <c r="C43" s="4">
        <v>1829</v>
      </c>
    </row>
    <row r="44" spans="3:3">
      <c r="C44" s="4">
        <v>1831.5</v>
      </c>
    </row>
    <row r="45" spans="3:3">
      <c r="C45" s="4">
        <v>1835.4</v>
      </c>
    </row>
    <row r="46" spans="3:3">
      <c r="C46" s="4">
        <v>1843.4</v>
      </c>
    </row>
    <row r="47" spans="3:3">
      <c r="C47" s="4">
        <v>1848.3</v>
      </c>
    </row>
    <row r="48" spans="3:3">
      <c r="C48" s="4">
        <v>1853.6</v>
      </c>
    </row>
    <row r="49" spans="3:3">
      <c r="C49" s="4">
        <v>1855.1</v>
      </c>
    </row>
    <row r="50" spans="3:3">
      <c r="C50" s="4">
        <v>1862.2</v>
      </c>
    </row>
    <row r="51" spans="3:3">
      <c r="C51" s="4">
        <v>1864.6</v>
      </c>
    </row>
    <row r="52" spans="3:3">
      <c r="C52" s="4">
        <v>1865.1</v>
      </c>
    </row>
    <row r="53" spans="3:3">
      <c r="C53" s="4">
        <v>1868.8</v>
      </c>
    </row>
    <row r="54" spans="3:3">
      <c r="C54" s="4">
        <v>1887.8</v>
      </c>
    </row>
    <row r="55" spans="3:3">
      <c r="C55" s="4">
        <v>1891.3</v>
      </c>
    </row>
    <row r="56" spans="3:3">
      <c r="C56" s="4">
        <v>1902.3</v>
      </c>
    </row>
    <row r="57" spans="3:3">
      <c r="C57" s="4">
        <v>1902.4</v>
      </c>
    </row>
    <row r="58" spans="3:3">
      <c r="C58" s="4">
        <v>1907</v>
      </c>
    </row>
    <row r="59" spans="3:3">
      <c r="C59" s="4">
        <v>1913.6</v>
      </c>
    </row>
    <row r="60" spans="3:3">
      <c r="C60" s="4">
        <v>1917.9</v>
      </c>
    </row>
    <row r="61" spans="3:3">
      <c r="C61" s="4">
        <v>1920.1</v>
      </c>
    </row>
    <row r="62" spans="3:3">
      <c r="C62" s="4">
        <v>1925.8</v>
      </c>
    </row>
    <row r="63" spans="3:3">
      <c r="C63" s="4">
        <v>1929.5</v>
      </c>
    </row>
    <row r="64" spans="3:3">
      <c r="C64" s="4">
        <v>1930.2</v>
      </c>
    </row>
    <row r="65" spans="3:3">
      <c r="C65" s="4">
        <v>1931.3</v>
      </c>
    </row>
    <row r="66" spans="3:3">
      <c r="C66" s="4">
        <v>1935.7</v>
      </c>
    </row>
    <row r="67" spans="3:3">
      <c r="C67" s="4">
        <v>1938.9</v>
      </c>
    </row>
    <row r="68" spans="3:3">
      <c r="C68" s="4">
        <v>1942.6</v>
      </c>
    </row>
    <row r="69" spans="3:3">
      <c r="C69" s="4">
        <v>1956.3</v>
      </c>
    </row>
    <row r="70" spans="3:3">
      <c r="C70" s="4">
        <v>1962.2</v>
      </c>
    </row>
    <row r="71" spans="3:3">
      <c r="C71" s="4">
        <v>1977.2</v>
      </c>
    </row>
    <row r="72" spans="3:3">
      <c r="C72" s="4">
        <v>1986.5</v>
      </c>
    </row>
    <row r="73" spans="3:3">
      <c r="C73" s="4">
        <v>1993.5</v>
      </c>
    </row>
    <row r="74" spans="3:3">
      <c r="C74" s="4">
        <v>1997.7</v>
      </c>
    </row>
    <row r="75" spans="3:3">
      <c r="C75" s="4">
        <v>2010</v>
      </c>
    </row>
    <row r="76" spans="3:3">
      <c r="C76" s="4">
        <v>2017.8</v>
      </c>
    </row>
    <row r="77" spans="3:3">
      <c r="C77" s="4">
        <v>2023.4</v>
      </c>
    </row>
    <row r="78" spans="3:3">
      <c r="C78" s="4">
        <v>2029.1</v>
      </c>
    </row>
    <row r="79" spans="3:3">
      <c r="C79" s="4">
        <v>2032.9</v>
      </c>
    </row>
    <row r="80" spans="3:3">
      <c r="C80" s="4">
        <v>2035.2</v>
      </c>
    </row>
    <row r="81" spans="3:3">
      <c r="C81" s="4">
        <v>2042.6</v>
      </c>
    </row>
    <row r="82" spans="3:3">
      <c r="C82" s="4">
        <v>2042.7</v>
      </c>
    </row>
    <row r="83" spans="3:3">
      <c r="C83" s="4">
        <v>2159.7</v>
      </c>
    </row>
    <row r="84" spans="3:3">
      <c r="C84" s="4">
        <v>2164.3</v>
      </c>
    </row>
    <row r="85" spans="3:3">
      <c r="C85" s="4">
        <v>2166.1</v>
      </c>
    </row>
    <row r="86" spans="3:3">
      <c r="C86" s="4">
        <v>2176.4</v>
      </c>
    </row>
    <row r="87" spans="3:3">
      <c r="C87" s="4">
        <v>2184.7</v>
      </c>
    </row>
    <row r="88" spans="3:3">
      <c r="C88" s="4">
        <v>2301</v>
      </c>
    </row>
    <row r="89" spans="3:3">
      <c r="C89" s="4">
        <v>2376.2</v>
      </c>
    </row>
    <row r="90" spans="3:3">
      <c r="C90" s="4">
        <v>2385.8</v>
      </c>
    </row>
    <row r="91" spans="3:3">
      <c r="C91" s="4">
        <v>2400</v>
      </c>
    </row>
    <row r="92" spans="3:3">
      <c r="C92" s="4">
        <v>2456.4</v>
      </c>
    </row>
    <row r="93" spans="3:3">
      <c r="C93" s="4">
        <v>2586.5</v>
      </c>
    </row>
    <row r="94" spans="3:3">
      <c r="C94" s="4">
        <v>2649.6</v>
      </c>
    </row>
    <row r="95" spans="3:3">
      <c r="C95" s="4">
        <v>2679.3</v>
      </c>
    </row>
    <row r="96" spans="3:3">
      <c r="C96" s="4">
        <v>2781</v>
      </c>
    </row>
    <row r="97" spans="3:3">
      <c r="C97" s="4">
        <v>2928.7</v>
      </c>
    </row>
    <row r="98" spans="3:3">
      <c r="C98" s="4">
        <v>3037.3</v>
      </c>
    </row>
    <row r="99" spans="3:3">
      <c r="C99" s="4">
        <v>3075.8</v>
      </c>
    </row>
    <row r="100" spans="3:3">
      <c r="C100" s="4">
        <v>3247.8</v>
      </c>
    </row>
    <row r="101" spans="3:3">
      <c r="C101" s="4">
        <v>3329</v>
      </c>
    </row>
    <row r="102" spans="3:3">
      <c r="C102" s="4">
        <v>3348.6</v>
      </c>
    </row>
    <row r="103" spans="3:3">
      <c r="C103" s="4">
        <v>3380.6</v>
      </c>
    </row>
    <row r="104" spans="3:3">
      <c r="C104" s="4">
        <v>3404.9</v>
      </c>
    </row>
    <row r="105" spans="3:3">
      <c r="C105" s="4">
        <v>3855.2</v>
      </c>
    </row>
    <row r="106" spans="3:3">
      <c r="C106" s="4">
        <v>4274.8</v>
      </c>
    </row>
    <row r="107" spans="3:3">
      <c r="C107" s="4">
        <v>4614.7</v>
      </c>
    </row>
    <row r="108" spans="3:3">
      <c r="C108" s="4">
        <v>4935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FormatPr defaultRowHeight="15"/>
  <cols>
    <col min="1" max="1" width="25.7109375" customWidth="1"/>
    <col min="2" max="2" width="18.7109375" customWidth="1"/>
    <col min="3" max="3" width="40.7109375" customWidth="1"/>
  </cols>
  <sheetData>
    <row r="1" spans="1:4">
      <c r="A1" s="1" t="s">
        <v>55</v>
      </c>
      <c r="B1" s="1"/>
      <c r="C1" s="1"/>
      <c r="D1" s="1"/>
    </row>
    <row r="3" spans="1:4">
      <c r="A3" s="3" t="s">
        <v>56</v>
      </c>
      <c r="B3" s="4">
        <v>13</v>
      </c>
    </row>
    <row r="4" spans="1:4">
      <c r="A4" s="3" t="s">
        <v>57</v>
      </c>
      <c r="B4" s="4">
        <v>4</v>
      </c>
    </row>
    <row r="5" spans="1:4">
      <c r="A5" s="3" t="s">
        <v>22</v>
      </c>
      <c r="B5" s="4">
        <v>2211.783</v>
      </c>
    </row>
    <row r="6" spans="1:4">
      <c r="A6" s="3" t="s">
        <v>42</v>
      </c>
      <c r="B6" s="4">
        <v>692.9273155660526</v>
      </c>
    </row>
    <row r="7" spans="1:4">
      <c r="A7" s="3" t="s">
        <v>43</v>
      </c>
      <c r="B7" s="4">
        <v>69.29273155660526</v>
      </c>
    </row>
    <row r="8" spans="1:4">
      <c r="A8" s="3" t="s">
        <v>44</v>
      </c>
      <c r="B8" s="6">
        <f>B6/SQRT(B4)</f>
        <v>0</v>
      </c>
    </row>
    <row r="9" spans="1:4">
      <c r="A9" s="2" t="s">
        <v>46</v>
      </c>
      <c r="B9" s="2" t="s">
        <v>47</v>
      </c>
      <c r="C9" s="2" t="s">
        <v>48</v>
      </c>
    </row>
    <row r="10" spans="1:4">
      <c r="A10" s="3" t="s">
        <v>58</v>
      </c>
      <c r="B10" s="6" t="s">
        <v>59</v>
      </c>
      <c r="C10" s="4" t="s">
        <v>60</v>
      </c>
    </row>
    <row r="11" spans="1:4">
      <c r="A11" s="3" t="s">
        <v>49</v>
      </c>
      <c r="B11" s="6">
        <f>AVERAGE(C:C)</f>
        <v>0</v>
      </c>
      <c r="C11" s="4" t="s">
        <v>61</v>
      </c>
    </row>
    <row r="12" spans="1:4">
      <c r="A12" s="3" t="s">
        <v>51</v>
      </c>
      <c r="B12" s="6">
        <f>STDEV.S(C:C)</f>
        <v>0</v>
      </c>
      <c r="C12" s="4" t="s">
        <v>62</v>
      </c>
    </row>
    <row r="13" spans="1:4">
      <c r="A13" s="3" t="s">
        <v>53</v>
      </c>
      <c r="B13" s="6">
        <f>B6/SQRT(B4)</f>
        <v>0</v>
      </c>
      <c r="C13" s="4" t="s">
        <v>63</v>
      </c>
    </row>
    <row r="14" spans="1:4">
      <c r="C14" s="4">
        <v>1672.4</v>
      </c>
    </row>
    <row r="15" spans="1:4">
      <c r="C15" s="4">
        <v>1699.9</v>
      </c>
    </row>
    <row r="16" spans="1:4">
      <c r="C16" s="4">
        <v>1700.9</v>
      </c>
    </row>
    <row r="17" spans="3:3">
      <c r="C17" s="4">
        <v>1705.8</v>
      </c>
    </row>
    <row r="18" spans="3:3">
      <c r="C18" s="4">
        <v>1712.2</v>
      </c>
    </row>
    <row r="19" spans="3:3">
      <c r="C19" s="4">
        <v>1716</v>
      </c>
    </row>
    <row r="20" spans="3:3">
      <c r="C20" s="4">
        <v>1721.8</v>
      </c>
    </row>
    <row r="21" spans="3:3">
      <c r="C21" s="4">
        <v>1726.9</v>
      </c>
    </row>
    <row r="22" spans="3:3">
      <c r="C22" s="4">
        <v>1735.9</v>
      </c>
    </row>
    <row r="23" spans="3:3">
      <c r="C23" s="4">
        <v>1752.1</v>
      </c>
    </row>
    <row r="24" spans="3:3">
      <c r="C24" s="4">
        <v>1759.1</v>
      </c>
    </row>
    <row r="25" spans="3:3">
      <c r="C25" s="4">
        <v>1763.1</v>
      </c>
    </row>
    <row r="26" spans="3:3">
      <c r="C26" s="4">
        <v>1763.6</v>
      </c>
    </row>
    <row r="27" spans="3:3">
      <c r="C27" s="4">
        <v>1763.9</v>
      </c>
    </row>
    <row r="28" spans="3:3">
      <c r="C28" s="4">
        <v>1767.7</v>
      </c>
    </row>
    <row r="29" spans="3:3">
      <c r="C29" s="4">
        <v>1775.7</v>
      </c>
    </row>
    <row r="30" spans="3:3">
      <c r="C30" s="4">
        <v>1776.3</v>
      </c>
    </row>
    <row r="31" spans="3:3">
      <c r="C31" s="4">
        <v>1779.3</v>
      </c>
    </row>
    <row r="32" spans="3:3">
      <c r="C32" s="4">
        <v>1784.3</v>
      </c>
    </row>
    <row r="33" spans="3:3">
      <c r="C33" s="4">
        <v>1789.6</v>
      </c>
    </row>
    <row r="34" spans="3:3">
      <c r="C34" s="4">
        <v>1797.8</v>
      </c>
    </row>
    <row r="35" spans="3:3">
      <c r="C35" s="4">
        <v>1803.2</v>
      </c>
    </row>
    <row r="36" spans="3:3">
      <c r="C36" s="4">
        <v>1803.6</v>
      </c>
    </row>
    <row r="37" spans="3:3">
      <c r="C37" s="4">
        <v>1804.8</v>
      </c>
    </row>
    <row r="38" spans="3:3">
      <c r="C38" s="4">
        <v>1806.3</v>
      </c>
    </row>
    <row r="39" spans="3:3">
      <c r="C39" s="4">
        <v>1808.2</v>
      </c>
    </row>
    <row r="40" spans="3:3">
      <c r="C40" s="4">
        <v>1811.2</v>
      </c>
    </row>
    <row r="41" spans="3:3">
      <c r="C41" s="4">
        <v>1812.4</v>
      </c>
    </row>
    <row r="42" spans="3:3">
      <c r="C42" s="4">
        <v>1813.4</v>
      </c>
    </row>
    <row r="43" spans="3:3">
      <c r="C43" s="4">
        <v>1815</v>
      </c>
    </row>
    <row r="44" spans="3:3">
      <c r="C44" s="4">
        <v>1816.3</v>
      </c>
    </row>
    <row r="45" spans="3:3">
      <c r="C45" s="4">
        <v>1832.4</v>
      </c>
    </row>
    <row r="46" spans="3:3">
      <c r="C46" s="4">
        <v>1834.6</v>
      </c>
    </row>
    <row r="47" spans="3:3">
      <c r="C47" s="4">
        <v>1835.4</v>
      </c>
    </row>
    <row r="48" spans="3:3">
      <c r="C48" s="4">
        <v>1846.3</v>
      </c>
    </row>
    <row r="49" spans="3:3">
      <c r="C49" s="4">
        <v>1851.4</v>
      </c>
    </row>
    <row r="50" spans="3:3">
      <c r="C50" s="4">
        <v>1857</v>
      </c>
    </row>
    <row r="51" spans="3:3">
      <c r="C51" s="4">
        <v>1863.3</v>
      </c>
    </row>
    <row r="52" spans="3:3">
      <c r="C52" s="4">
        <v>1866.7</v>
      </c>
    </row>
    <row r="53" spans="3:3">
      <c r="C53" s="4">
        <v>1868.9</v>
      </c>
    </row>
    <row r="54" spans="3:3">
      <c r="C54" s="4">
        <v>1870.6</v>
      </c>
    </row>
    <row r="55" spans="3:3">
      <c r="C55" s="4">
        <v>1873.9</v>
      </c>
    </row>
    <row r="56" spans="3:3">
      <c r="C56" s="4">
        <v>1879.9</v>
      </c>
    </row>
    <row r="57" spans="3:3">
      <c r="C57" s="4">
        <v>1880.7</v>
      </c>
    </row>
    <row r="58" spans="3:3">
      <c r="C58" s="4">
        <v>1884.5</v>
      </c>
    </row>
    <row r="59" spans="3:3">
      <c r="C59" s="4">
        <v>1890.2</v>
      </c>
    </row>
    <row r="60" spans="3:3">
      <c r="C60" s="4">
        <v>1895.2</v>
      </c>
    </row>
    <row r="61" spans="3:3">
      <c r="C61" s="4">
        <v>1906.4</v>
      </c>
    </row>
    <row r="62" spans="3:3">
      <c r="C62" s="4">
        <v>1909.2</v>
      </c>
    </row>
    <row r="63" spans="3:3">
      <c r="C63" s="4">
        <v>1920.5</v>
      </c>
    </row>
    <row r="64" spans="3:3">
      <c r="C64" s="4">
        <v>1928.6</v>
      </c>
    </row>
    <row r="65" spans="3:3">
      <c r="C65" s="4">
        <v>1931</v>
      </c>
    </row>
    <row r="66" spans="3:3">
      <c r="C66" s="4">
        <v>1934.7</v>
      </c>
    </row>
    <row r="67" spans="3:3">
      <c r="C67" s="4">
        <v>1935.2</v>
      </c>
    </row>
    <row r="68" spans="3:3">
      <c r="C68" s="4">
        <v>1943.2</v>
      </c>
    </row>
    <row r="69" spans="3:3">
      <c r="C69" s="4">
        <v>1949.7</v>
      </c>
    </row>
    <row r="70" spans="3:3">
      <c r="C70" s="4">
        <v>1949.9</v>
      </c>
    </row>
    <row r="71" spans="3:3">
      <c r="C71" s="4">
        <v>1959.8</v>
      </c>
    </row>
    <row r="72" spans="3:3">
      <c r="C72" s="4">
        <v>1960.5</v>
      </c>
    </row>
    <row r="73" spans="3:3">
      <c r="C73" s="4">
        <v>1968</v>
      </c>
    </row>
    <row r="74" spans="3:3">
      <c r="C74" s="4">
        <v>1986.9</v>
      </c>
    </row>
    <row r="75" spans="3:3">
      <c r="C75" s="4">
        <v>1987.5</v>
      </c>
    </row>
    <row r="76" spans="3:3">
      <c r="C76" s="4">
        <v>1991.3</v>
      </c>
    </row>
    <row r="77" spans="3:3">
      <c r="C77" s="4">
        <v>2012.4</v>
      </c>
    </row>
    <row r="78" spans="3:3">
      <c r="C78" s="4">
        <v>2030.2</v>
      </c>
    </row>
    <row r="79" spans="3:3">
      <c r="C79" s="4">
        <v>2041.8</v>
      </c>
    </row>
    <row r="80" spans="3:3">
      <c r="C80" s="4">
        <v>2042.6</v>
      </c>
    </row>
    <row r="81" spans="3:3">
      <c r="C81" s="4">
        <v>2126.3</v>
      </c>
    </row>
    <row r="82" spans="3:3">
      <c r="C82" s="4">
        <v>2177.2</v>
      </c>
    </row>
    <row r="83" spans="3:3">
      <c r="C83" s="4">
        <v>2338.9</v>
      </c>
    </row>
    <row r="84" spans="3:3">
      <c r="C84" s="4">
        <v>2343</v>
      </c>
    </row>
    <row r="85" spans="3:3">
      <c r="C85" s="4">
        <v>2363.6</v>
      </c>
    </row>
    <row r="86" spans="3:3">
      <c r="C86" s="4">
        <v>2385.8</v>
      </c>
    </row>
    <row r="87" spans="3:3">
      <c r="C87" s="4">
        <v>2415.7</v>
      </c>
    </row>
    <row r="88" spans="3:3">
      <c r="C88" s="4">
        <v>2458.6</v>
      </c>
    </row>
    <row r="89" spans="3:3">
      <c r="C89" s="4">
        <v>2519.5</v>
      </c>
    </row>
    <row r="90" spans="3:3">
      <c r="C90" s="4">
        <v>2614.6</v>
      </c>
    </row>
    <row r="91" spans="3:3">
      <c r="C91" s="4">
        <v>2658.1</v>
      </c>
    </row>
    <row r="92" spans="3:3">
      <c r="C92" s="4">
        <v>2690.8</v>
      </c>
    </row>
    <row r="93" spans="3:3">
      <c r="C93" s="4">
        <v>2736.5</v>
      </c>
    </row>
    <row r="94" spans="3:3">
      <c r="C94" s="4">
        <v>2741.5</v>
      </c>
    </row>
    <row r="95" spans="3:3">
      <c r="C95" s="4">
        <v>2875.8</v>
      </c>
    </row>
    <row r="96" spans="3:3">
      <c r="C96" s="4">
        <v>2895.9</v>
      </c>
    </row>
    <row r="97" spans="3:3">
      <c r="C97" s="4">
        <v>3044</v>
      </c>
    </row>
    <row r="98" spans="3:3">
      <c r="C98" s="4">
        <v>3240.4</v>
      </c>
    </row>
    <row r="99" spans="3:3">
      <c r="C99" s="4">
        <v>3306</v>
      </c>
    </row>
    <row r="100" spans="3:3">
      <c r="C100" s="4">
        <v>3329</v>
      </c>
    </row>
    <row r="101" spans="3:3">
      <c r="C101" s="4">
        <v>3345.3</v>
      </c>
    </row>
    <row r="102" spans="3:3">
      <c r="C102" s="4">
        <v>3397.2</v>
      </c>
    </row>
    <row r="103" spans="3:3">
      <c r="C103" s="4">
        <v>3404.7</v>
      </c>
    </row>
    <row r="104" spans="3:3">
      <c r="C104" s="4">
        <v>3592.2</v>
      </c>
    </row>
    <row r="105" spans="3:3">
      <c r="C105" s="4">
        <v>3753.4</v>
      </c>
    </row>
    <row r="106" spans="3:3">
      <c r="C106" s="4">
        <v>4122</v>
      </c>
    </row>
    <row r="107" spans="3:3">
      <c r="C107" s="4">
        <v>4232.5</v>
      </c>
    </row>
    <row r="108" spans="3:3">
      <c r="C108" s="4">
        <v>4304.6</v>
      </c>
    </row>
    <row r="109" spans="3:3">
      <c r="C109" s="4">
        <v>4327</v>
      </c>
    </row>
    <row r="110" spans="3:3">
      <c r="C110" s="4">
        <v>4595.4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5.7109375" customWidth="1"/>
    <col min="2" max="2" width="60.7109375" customWidth="1"/>
  </cols>
  <sheetData>
    <row r="1" spans="1:6">
      <c r="A1" s="1" t="s">
        <v>64</v>
      </c>
      <c r="B1" s="1"/>
      <c r="C1" s="1"/>
      <c r="D1" s="1"/>
      <c r="E1" s="1"/>
      <c r="F1" s="1"/>
    </row>
    <row r="3" spans="1:6">
      <c r="A3" s="3" t="s">
        <v>65</v>
      </c>
      <c r="B3" s="4">
        <v>5</v>
      </c>
    </row>
    <row r="4" spans="1:6">
      <c r="A4" s="3" t="s">
        <v>66</v>
      </c>
      <c r="B4" s="4" t="s">
        <v>67</v>
      </c>
    </row>
    <row r="6" spans="1:6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34</v>
      </c>
    </row>
    <row r="7" spans="1:6">
      <c r="A7" s="3" t="s">
        <v>73</v>
      </c>
      <c r="B7" s="4">
        <v>271</v>
      </c>
      <c r="C7" s="5">
        <v>0.2011878247958426</v>
      </c>
      <c r="D7" s="4">
        <v>20</v>
      </c>
      <c r="E7" s="4">
        <v>1728.79</v>
      </c>
      <c r="F7" s="4">
        <v>60.55584547384864</v>
      </c>
    </row>
    <row r="8" spans="1:6">
      <c r="A8" s="3" t="s">
        <v>74</v>
      </c>
      <c r="B8" s="4">
        <v>268</v>
      </c>
      <c r="C8" s="5">
        <v>0.1989606533036377</v>
      </c>
      <c r="D8" s="4">
        <v>19</v>
      </c>
      <c r="E8" s="4">
        <v>1824.742105263158</v>
      </c>
      <c r="F8" s="4">
        <v>23.75905244531894</v>
      </c>
    </row>
    <row r="9" spans="1:6">
      <c r="A9" s="3" t="s">
        <v>75</v>
      </c>
      <c r="B9" s="4">
        <v>270</v>
      </c>
      <c r="C9" s="5">
        <v>0.200445434298441</v>
      </c>
      <c r="D9" s="4">
        <v>20</v>
      </c>
      <c r="E9" s="4">
        <v>1929.615</v>
      </c>
      <c r="F9" s="4">
        <v>35.8499544887034</v>
      </c>
    </row>
    <row r="10" spans="1:6">
      <c r="A10" s="3" t="s">
        <v>76</v>
      </c>
      <c r="B10" s="4">
        <v>268</v>
      </c>
      <c r="C10" s="5">
        <v>0.1989606533036377</v>
      </c>
      <c r="D10" s="4">
        <v>19</v>
      </c>
      <c r="E10" s="4">
        <v>2175.642105263158</v>
      </c>
      <c r="F10" s="4">
        <v>213.7306022797793</v>
      </c>
    </row>
    <row r="11" spans="1:6">
      <c r="A11" s="3" t="s">
        <v>77</v>
      </c>
      <c r="B11" s="4">
        <v>270</v>
      </c>
      <c r="C11" s="5">
        <v>0.200445434298441</v>
      </c>
      <c r="D11" s="4">
        <v>20</v>
      </c>
      <c r="E11" s="4">
        <v>3755.074999999999</v>
      </c>
      <c r="F11" s="4">
        <v>753.7984596449888</v>
      </c>
    </row>
    <row r="13" spans="1:6">
      <c r="A13" s="3" t="s">
        <v>78</v>
      </c>
      <c r="B13" s="4">
        <v>2288.539795918367</v>
      </c>
    </row>
    <row r="14" spans="1:6">
      <c r="A14" s="3" t="s">
        <v>79</v>
      </c>
      <c r="B14" s="4">
        <v>836.7167907886078</v>
      </c>
    </row>
    <row r="15" spans="1:6">
      <c r="A15" s="3" t="s">
        <v>53</v>
      </c>
      <c r="B15" s="4">
        <v>84.52115952846719</v>
      </c>
    </row>
    <row r="17" spans="1:2">
      <c r="A17" s="2" t="s">
        <v>46</v>
      </c>
      <c r="B17" s="2" t="s">
        <v>48</v>
      </c>
    </row>
    <row r="18" spans="1:2">
      <c r="A18" s="3" t="s">
        <v>80</v>
      </c>
      <c r="B18" s="4" t="s">
        <v>81</v>
      </c>
    </row>
    <row r="19" spans="1:2">
      <c r="A19" s="3" t="s">
        <v>82</v>
      </c>
      <c r="B19" s="4">
        <f> AVERAGE within each price range
Example: Low prices avg $1,800; High prices avg $2,050</f>
        <v>0</v>
      </c>
    </row>
    <row r="20" spans="1:2">
      <c r="A20" s="3" t="s">
        <v>83</v>
      </c>
      <c r="B20" s="4">
        <f> STDEV within each price range
Measures variation within each price group</f>
        <v>0</v>
      </c>
    </row>
    <row r="21" spans="1:2">
      <c r="A21" s="3" t="s">
        <v>78</v>
      </c>
      <c r="B21" s="4" t="s">
        <v>84</v>
      </c>
    </row>
    <row r="22" spans="1:2">
      <c r="A22" s="3" t="s">
        <v>53</v>
      </c>
      <c r="B22" s="4" t="s">
        <v>85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0.7109375" customWidth="1"/>
    <col min="2" max="2" width="70.7109375" customWidth="1"/>
  </cols>
  <sheetData>
    <row r="1" spans="1:5">
      <c r="A1" s="1" t="s">
        <v>86</v>
      </c>
      <c r="B1" s="1"/>
      <c r="C1" s="1"/>
      <c r="D1" s="1"/>
      <c r="E1" s="1"/>
    </row>
    <row r="3" spans="1:5">
      <c r="A3" s="3" t="s">
        <v>87</v>
      </c>
      <c r="B3" s="4">
        <v>10</v>
      </c>
    </row>
    <row r="4" spans="1:5">
      <c r="A4" s="3" t="s">
        <v>88</v>
      </c>
      <c r="B4" s="4">
        <v>7</v>
      </c>
    </row>
    <row r="5" spans="1:5">
      <c r="A5" s="3" t="s">
        <v>22</v>
      </c>
      <c r="B5" s="4">
        <v>938</v>
      </c>
    </row>
    <row r="7" spans="1:5">
      <c r="A7" s="2" t="s">
        <v>89</v>
      </c>
      <c r="B7" s="2" t="s">
        <v>90</v>
      </c>
      <c r="C7" s="2" t="s">
        <v>91</v>
      </c>
      <c r="D7" s="2" t="s">
        <v>34</v>
      </c>
    </row>
    <row r="8" spans="1:5">
      <c r="A8" s="3" t="s">
        <v>92</v>
      </c>
      <c r="B8" s="4">
        <v>134</v>
      </c>
      <c r="C8" s="4">
        <v>1767.15447761194</v>
      </c>
      <c r="D8" s="4">
        <v>128.8093278832129</v>
      </c>
    </row>
    <row r="9" spans="1:5">
      <c r="A9" s="3" t="s">
        <v>93</v>
      </c>
      <c r="B9" s="4">
        <v>134</v>
      </c>
      <c r="C9" s="4">
        <v>1798.801492537314</v>
      </c>
      <c r="D9" s="4">
        <v>50.14720733770348</v>
      </c>
    </row>
    <row r="10" spans="1:5">
      <c r="A10" s="3" t="s">
        <v>94</v>
      </c>
      <c r="B10" s="4">
        <v>134</v>
      </c>
      <c r="C10" s="4">
        <v>1829.431343283582</v>
      </c>
      <c r="D10" s="4">
        <v>65.03753967212378</v>
      </c>
    </row>
    <row r="11" spans="1:5">
      <c r="A11" s="3" t="s">
        <v>95</v>
      </c>
      <c r="B11" s="4">
        <v>134</v>
      </c>
      <c r="C11" s="4">
        <v>1856.196268656716</v>
      </c>
      <c r="D11" s="4">
        <v>62.85902045162498</v>
      </c>
    </row>
    <row r="12" spans="1:5">
      <c r="A12" s="3" t="s">
        <v>96</v>
      </c>
      <c r="B12" s="4">
        <v>134</v>
      </c>
      <c r="C12" s="4">
        <v>2022.794776119403</v>
      </c>
      <c r="D12" s="4">
        <v>115.5406170272264</v>
      </c>
    </row>
    <row r="13" spans="1:5">
      <c r="A13" s="3" t="s">
        <v>97</v>
      </c>
      <c r="B13" s="4">
        <v>134</v>
      </c>
      <c r="C13" s="4">
        <v>2500.017910447762</v>
      </c>
      <c r="D13" s="4">
        <v>145.4251195326642</v>
      </c>
    </row>
    <row r="14" spans="1:5">
      <c r="A14" s="3" t="s">
        <v>98</v>
      </c>
      <c r="B14" s="4">
        <v>134</v>
      </c>
      <c r="C14" s="4">
        <v>3134.128880597015</v>
      </c>
      <c r="D14" s="4">
        <v>264.751438928152</v>
      </c>
    </row>
    <row r="16" spans="1:5">
      <c r="A16" s="3" t="s">
        <v>78</v>
      </c>
      <c r="B16" s="4">
        <v>2129.789307036247</v>
      </c>
    </row>
    <row r="17" spans="1:2">
      <c r="A17" s="3" t="s">
        <v>79</v>
      </c>
      <c r="B17" s="4">
        <v>492.2315309349701</v>
      </c>
    </row>
    <row r="18" spans="1:2">
      <c r="A18" s="3" t="s">
        <v>53</v>
      </c>
      <c r="B18" s="4">
        <v>16.07192920483501</v>
      </c>
    </row>
    <row r="20" spans="1:2">
      <c r="A20" s="2" t="s">
        <v>46</v>
      </c>
      <c r="B20" s="2" t="s">
        <v>48</v>
      </c>
    </row>
    <row r="21" spans="1:2">
      <c r="A21" s="3" t="s">
        <v>99</v>
      </c>
      <c r="B21" s="4" t="s">
        <v>100</v>
      </c>
    </row>
    <row r="22" spans="1:2">
      <c r="A22" s="3" t="s">
        <v>101</v>
      </c>
      <c r="B22" s="4" t="s">
        <v>102</v>
      </c>
    </row>
    <row r="23" spans="1:2">
      <c r="A23" s="3" t="s">
        <v>103</v>
      </c>
      <c r="B23" s="4">
        <f> AVERAGE of all prices within selected cluster
Each cluster is independent group</f>
        <v>0</v>
      </c>
    </row>
    <row r="24" spans="1:2">
      <c r="A24" s="3" t="s">
        <v>78</v>
      </c>
      <c r="B24" s="4">
        <f> (all prices in selected clusters) / total sample size
Simple average across all selected clusters</f>
        <v>0</v>
      </c>
    </row>
    <row r="25" spans="1:2">
      <c r="A25" s="3" t="s">
        <v>53</v>
      </c>
      <c r="B25" s="4" t="s">
        <v>104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Formulas</vt:lpstr>
      <vt:lpstr>Summary</vt:lpstr>
      <vt:lpstr>Simple Random</vt:lpstr>
      <vt:lpstr>Systematic</vt:lpstr>
      <vt:lpstr>Stratified</vt:lpstr>
      <vt:lpstr>Cluster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2026-04-07T14:24:01Z</dcterms:created>
  <dcterms:modified xsi:type="dcterms:W3CDTF">2026-04-07T14:24:01Z</dcterms:modified>
</cp:coreProperties>
</file>